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10560"/>
  </bookViews>
  <sheets>
    <sheet name="Sheet2" sheetId="2" r:id="rId1"/>
    <sheet name="EMRAN" sheetId="1" r:id="rId2"/>
    <sheet name="BATI" sheetId="3" r:id="rId3"/>
    <sheet name="HALIFA" sheetId="4" r:id="rId4"/>
    <sheet name="A REHMAN" sheetId="5" r:id="rId5"/>
    <sheet name="FEYSEL" sheetId="6" r:id="rId6"/>
  </sheets>
  <definedNames>
    <definedName name="_xlnm._FilterDatabase" localSheetId="0" hidden="1">Sheet2!$A$1:$N$19</definedName>
  </definedNames>
  <calcPr calcId="144525"/>
</workbook>
</file>

<file path=xl/calcChain.xml><?xml version="1.0" encoding="utf-8"?>
<calcChain xmlns="http://schemas.openxmlformats.org/spreadsheetml/2006/main">
  <c r="J5" i="6" l="1"/>
  <c r="H5" i="6"/>
  <c r="H21" i="2"/>
  <c r="J18" i="2"/>
  <c r="J19" i="2"/>
  <c r="J4" i="5"/>
  <c r="H4" i="5"/>
  <c r="J4" i="4"/>
  <c r="H4" i="4"/>
  <c r="J2" i="4"/>
  <c r="J6" i="3"/>
  <c r="H6" i="3"/>
  <c r="J14" i="1"/>
  <c r="H14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2" i="2"/>
  <c r="J21" i="2" l="1"/>
</calcChain>
</file>

<file path=xl/sharedStrings.xml><?xml version="1.0" encoding="utf-8"?>
<sst xmlns="http://schemas.openxmlformats.org/spreadsheetml/2006/main" count="342" uniqueCount="71">
  <si>
    <t>Number</t>
  </si>
  <si>
    <t>Issued</t>
  </si>
  <si>
    <t>PCC</t>
  </si>
  <si>
    <t>SON</t>
  </si>
  <si>
    <t>Passenger</t>
  </si>
  <si>
    <t>PNR</t>
  </si>
  <si>
    <t>Base Fare</t>
  </si>
  <si>
    <t>Tax</t>
  </si>
  <si>
    <t>Total</t>
  </si>
  <si>
    <t>Form Of Payment Free Text</t>
  </si>
  <si>
    <t>065 5282705392</t>
  </si>
  <si>
    <t>LR6</t>
  </si>
  <si>
    <t>LR6SS</t>
  </si>
  <si>
    <t>ABDULHAKIM/FUAD MOHAMMED</t>
  </si>
  <si>
    <t>J3PPWN</t>
  </si>
  <si>
    <t>INV*HALIFA CASH</t>
  </si>
  <si>
    <t>GOBENA/ABDUREHMAN GEDE</t>
  </si>
  <si>
    <t>J39VK4</t>
  </si>
  <si>
    <t>INV BATI DODOLA</t>
  </si>
  <si>
    <t>HAMED/MUSTEFA DESU</t>
  </si>
  <si>
    <t>TORBI/AHMED DEKO</t>
  </si>
  <si>
    <t>071 5282705407</t>
  </si>
  <si>
    <t>LR6RS</t>
  </si>
  <si>
    <t>HUSEN/AMIN ABUBEKER</t>
  </si>
  <si>
    <t>J3F0NY</t>
  </si>
  <si>
    <t>INV A REHMAN AYATA</t>
  </si>
  <si>
    <t>071 5282705408</t>
  </si>
  <si>
    <t>LR6AM</t>
  </si>
  <si>
    <t>071 5282705409</t>
  </si>
  <si>
    <t>071 5282705410</t>
  </si>
  <si>
    <t>071 5282705411</t>
  </si>
  <si>
    <t>ABDURAHMAN/HANAN DAWD</t>
  </si>
  <si>
    <t>J3YNJR</t>
  </si>
  <si>
    <t>INV EMRAN HIJRA</t>
  </si>
  <si>
    <t>071 5282705412</t>
  </si>
  <si>
    <t>WIRJINE/DAWD ABDURAHIMAN</t>
  </si>
  <si>
    <t>071 5282705413</t>
  </si>
  <si>
    <t>BUSHRA/FATUMA MOHAMMED</t>
  </si>
  <si>
    <t>071 5282705414</t>
  </si>
  <si>
    <t>MOHAMMED/JAFAR ABDELA</t>
  </si>
  <si>
    <t>071 5282705415</t>
  </si>
  <si>
    <t>SHIKUR/BAHRU OUMER</t>
  </si>
  <si>
    <t>071 5282705416</t>
  </si>
  <si>
    <t>MURAD/SHITU AHMED</t>
  </si>
  <si>
    <t>071 5282705417</t>
  </si>
  <si>
    <t>MOHAMMED/MUNA JEMAL</t>
  </si>
  <si>
    <t>J3YPMP</t>
  </si>
  <si>
    <t>071 5282705418</t>
  </si>
  <si>
    <t>ALINUR/FEYSEL RESHID</t>
  </si>
  <si>
    <t>071 5282705419</t>
  </si>
  <si>
    <t>ALINUR/ABDULHAFIZ RESHID</t>
  </si>
  <si>
    <t>071 5282705420</t>
  </si>
  <si>
    <t>FELEKE/BERISO MOHAMMED</t>
  </si>
  <si>
    <t>071 5282705421</t>
  </si>
  <si>
    <t>ABDELA/NEJIBO MOHAMMED</t>
  </si>
  <si>
    <t>SECTOR</t>
  </si>
  <si>
    <t>S.CHR</t>
  </si>
  <si>
    <t>G.TOT</t>
  </si>
  <si>
    <t>ADDJEDDXBJEDADD</t>
  </si>
  <si>
    <t>ADDMCT</t>
  </si>
  <si>
    <t>ADDJEDADD</t>
  </si>
  <si>
    <t>TOT</t>
  </si>
  <si>
    <t>NO</t>
  </si>
  <si>
    <t>071 15282705425</t>
  </si>
  <si>
    <t>071 15282705426</t>
  </si>
  <si>
    <t>ABADURA/REDA ABAOLI</t>
  </si>
  <si>
    <t>ABAOLI/MUSLIMA RIDA</t>
  </si>
  <si>
    <t>FEYSEL JIM</t>
  </si>
  <si>
    <t>J3YX6D</t>
  </si>
  <si>
    <t>LR7</t>
  </si>
  <si>
    <t>LR8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</si>
</sst>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00000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/>
    <xf numFmtId="0" fontId="0" fillId="0" borderId="1" xfId="0" applyBorder="1" applyAlignment="1"/>
    <xf numFmtId="16" fontId="0" fillId="0" borderId="1" xfId="0" applyNumberFormat="1" applyBorder="1" applyAlignment="1"/>
    <xf numFmtId="164" fontId="0" fillId="0" borderId="1" xfId="0" applyNumberForma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0" borderId="0" xfId="0" applyFont="1" applyAlignment="1"/>
    <xf numFmtId="165" fontId="2" fillId="0" borderId="1" xfId="1" applyNumberFormat="1" applyFont="1" applyBorder="1" applyAlignment="1"/>
    <xf numFmtId="165" fontId="2" fillId="0" borderId="1" xfId="1" applyNumberFormat="1" applyFont="1" applyFill="1" applyBorder="1" applyAlignment="1"/>
    <xf numFmtId="0" fontId="0" fillId="0" borderId="0" xfId="0" applyBorder="1" applyAlignment="1"/>
    <xf numFmtId="0" fontId="0" fillId="0" borderId="2" xfId="0" applyBorder="1" applyAlignment="1"/>
    <xf numFmtId="0" fontId="2" fillId="0" borderId="1" xfId="0" applyFont="1" applyBorder="1"/>
    <xf numFmtId="165" fontId="2" fillId="0" borderId="1" xfId="1" applyNumberFormat="1" applyFont="1" applyBorder="1"/>
    <xf numFmtId="0" fontId="2" fillId="0" borderId="2" xfId="0" applyFont="1" applyBorder="1" applyAlignment="1"/>
    <xf numFmtId="0" fontId="0" fillId="0" borderId="1" xfId="0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P10" sqref="P10"/>
    </sheetView>
  </sheetViews>
  <sheetFormatPr defaultRowHeight="15" x14ac:dyDescent="0.25"/>
  <cols>
    <col min="1" max="1" width="4.140625" style="1" bestFit="1" customWidth="1"/>
    <col min="2" max="2" width="15.5703125" style="1" bestFit="1" customWidth="1"/>
    <col min="3" max="3" width="7" style="1" bestFit="1" customWidth="1"/>
    <col min="4" max="4" width="31.140625" style="1" bestFit="1" customWidth="1"/>
    <col min="5" max="5" width="18.5703125" style="1" bestFit="1" customWidth="1"/>
    <col min="6" max="6" width="10.140625" style="1" bestFit="1" customWidth="1"/>
    <col min="7" max="7" width="7" style="1" bestFit="1" customWidth="1"/>
    <col min="8" max="8" width="10.5703125" style="1" bestFit="1" customWidth="1"/>
    <col min="9" max="9" width="8" style="1" customWidth="1"/>
    <col min="10" max="10" width="10.5703125" style="1" bestFit="1" customWidth="1"/>
    <col min="11" max="11" width="25.7109375" style="1" bestFit="1" customWidth="1"/>
    <col min="12" max="12" width="4.42578125" style="1" bestFit="1" customWidth="1"/>
    <col min="13" max="13" width="7" style="1" bestFit="1" customWidth="1"/>
    <col min="14" max="14" width="9.5703125" style="1" bestFit="1" customWidth="1"/>
    <col min="15" max="16384" width="9.140625" style="1"/>
  </cols>
  <sheetData>
    <row r="1" spans="1:14" s="7" customFormat="1" ht="15.75" x14ac:dyDescent="0.25">
      <c r="A1" s="6" t="s">
        <v>62</v>
      </c>
      <c r="B1" s="6" t="s">
        <v>0</v>
      </c>
      <c r="C1" s="6" t="s">
        <v>1</v>
      </c>
      <c r="D1" s="6" t="s">
        <v>4</v>
      </c>
      <c r="E1" s="6" t="s">
        <v>55</v>
      </c>
      <c r="F1" s="6" t="s">
        <v>6</v>
      </c>
      <c r="G1" s="6" t="s">
        <v>7</v>
      </c>
      <c r="H1" s="6" t="s">
        <v>8</v>
      </c>
      <c r="I1" s="6" t="s">
        <v>56</v>
      </c>
      <c r="J1" s="6" t="s">
        <v>57</v>
      </c>
      <c r="K1" s="6" t="s">
        <v>9</v>
      </c>
      <c r="L1" s="6" t="s">
        <v>2</v>
      </c>
      <c r="M1" s="6" t="s">
        <v>3</v>
      </c>
      <c r="N1" s="6" t="s">
        <v>5</v>
      </c>
    </row>
    <row r="2" spans="1:14" x14ac:dyDescent="0.25">
      <c r="A2" s="2">
        <v>1</v>
      </c>
      <c r="B2" s="11" t="s">
        <v>10</v>
      </c>
      <c r="C2" s="3">
        <v>46282</v>
      </c>
      <c r="D2" s="2" t="s">
        <v>13</v>
      </c>
      <c r="E2" s="3" t="s">
        <v>58</v>
      </c>
      <c r="F2" s="2">
        <v>84987</v>
      </c>
      <c r="G2" s="2">
        <v>32410</v>
      </c>
      <c r="H2" s="2">
        <v>117397</v>
      </c>
      <c r="I2" s="2">
        <v>2445</v>
      </c>
      <c r="J2" s="2">
        <f>I2+H2</f>
        <v>119842</v>
      </c>
      <c r="K2" s="2" t="s">
        <v>15</v>
      </c>
      <c r="L2" s="2" t="s">
        <v>11</v>
      </c>
      <c r="M2" s="4" t="s">
        <v>12</v>
      </c>
      <c r="N2" s="2" t="s">
        <v>14</v>
      </c>
    </row>
    <row r="3" spans="1:14" x14ac:dyDescent="0.25">
      <c r="A3" s="2">
        <v>2</v>
      </c>
      <c r="B3" s="2" t="s">
        <v>21</v>
      </c>
      <c r="C3" s="3">
        <v>46282</v>
      </c>
      <c r="D3" s="2" t="s">
        <v>23</v>
      </c>
      <c r="E3" s="3" t="s">
        <v>59</v>
      </c>
      <c r="F3" s="2">
        <v>30890</v>
      </c>
      <c r="G3" s="2">
        <v>15860</v>
      </c>
      <c r="H3" s="2">
        <v>46750</v>
      </c>
      <c r="I3" s="2">
        <v>1141</v>
      </c>
      <c r="J3" s="2">
        <f t="shared" ref="J3:J19" si="0">I3+H3</f>
        <v>47891</v>
      </c>
      <c r="K3" s="2" t="s">
        <v>25</v>
      </c>
      <c r="L3" s="2" t="s">
        <v>11</v>
      </c>
      <c r="M3" s="4" t="s">
        <v>22</v>
      </c>
      <c r="N3" s="2" t="s">
        <v>24</v>
      </c>
    </row>
    <row r="4" spans="1:14" x14ac:dyDescent="0.25">
      <c r="A4" s="2">
        <v>3</v>
      </c>
      <c r="B4" s="2" t="s">
        <v>26</v>
      </c>
      <c r="C4" s="3">
        <v>46282</v>
      </c>
      <c r="D4" s="2" t="s">
        <v>16</v>
      </c>
      <c r="E4" s="3" t="s">
        <v>59</v>
      </c>
      <c r="F4" s="2">
        <v>30890</v>
      </c>
      <c r="G4" s="2">
        <v>15860</v>
      </c>
      <c r="H4" s="2">
        <v>46750</v>
      </c>
      <c r="I4" s="2">
        <v>1141</v>
      </c>
      <c r="J4" s="2">
        <f t="shared" si="0"/>
        <v>47891</v>
      </c>
      <c r="K4" s="2" t="s">
        <v>18</v>
      </c>
      <c r="L4" s="2" t="s">
        <v>11</v>
      </c>
      <c r="M4" s="4" t="s">
        <v>27</v>
      </c>
      <c r="N4" s="2" t="s">
        <v>17</v>
      </c>
    </row>
    <row r="5" spans="1:14" x14ac:dyDescent="0.25">
      <c r="A5" s="2">
        <v>4</v>
      </c>
      <c r="B5" s="2" t="s">
        <v>28</v>
      </c>
      <c r="C5" s="3">
        <v>46282</v>
      </c>
      <c r="D5" s="2" t="s">
        <v>19</v>
      </c>
      <c r="E5" s="3" t="s">
        <v>59</v>
      </c>
      <c r="F5" s="2">
        <v>30890</v>
      </c>
      <c r="G5" s="2">
        <v>15860</v>
      </c>
      <c r="H5" s="2">
        <v>46750</v>
      </c>
      <c r="I5" s="2">
        <v>1141</v>
      </c>
      <c r="J5" s="2">
        <f t="shared" si="0"/>
        <v>47891</v>
      </c>
      <c r="K5" s="2" t="s">
        <v>18</v>
      </c>
      <c r="L5" s="2" t="s">
        <v>11</v>
      </c>
      <c r="M5" s="4" t="s">
        <v>27</v>
      </c>
      <c r="N5" s="2" t="s">
        <v>17</v>
      </c>
    </row>
    <row r="6" spans="1:14" x14ac:dyDescent="0.25">
      <c r="A6" s="2">
        <v>5</v>
      </c>
      <c r="B6" s="2" t="s">
        <v>29</v>
      </c>
      <c r="C6" s="3">
        <v>46282</v>
      </c>
      <c r="D6" s="2" t="s">
        <v>20</v>
      </c>
      <c r="E6" s="3" t="s">
        <v>59</v>
      </c>
      <c r="F6" s="2">
        <v>30890</v>
      </c>
      <c r="G6" s="2">
        <v>15860</v>
      </c>
      <c r="H6" s="2">
        <v>46750</v>
      </c>
      <c r="I6" s="2">
        <v>1141</v>
      </c>
      <c r="J6" s="2">
        <f t="shared" si="0"/>
        <v>47891</v>
      </c>
      <c r="K6" s="2" t="s">
        <v>18</v>
      </c>
      <c r="L6" s="2" t="s">
        <v>11</v>
      </c>
      <c r="M6" s="4" t="s">
        <v>27</v>
      </c>
      <c r="N6" s="2" t="s">
        <v>17</v>
      </c>
    </row>
    <row r="7" spans="1:14" x14ac:dyDescent="0.25">
      <c r="A7" s="2">
        <v>6</v>
      </c>
      <c r="B7" s="2" t="s">
        <v>30</v>
      </c>
      <c r="C7" s="3">
        <v>46282</v>
      </c>
      <c r="D7" s="2" t="s">
        <v>31</v>
      </c>
      <c r="E7" s="3" t="s">
        <v>60</v>
      </c>
      <c r="F7" s="2">
        <v>39715</v>
      </c>
      <c r="G7" s="2">
        <v>33383</v>
      </c>
      <c r="H7" s="2">
        <v>73098</v>
      </c>
      <c r="I7" s="2">
        <v>1630</v>
      </c>
      <c r="J7" s="2">
        <f t="shared" si="0"/>
        <v>74728</v>
      </c>
      <c r="K7" s="2" t="s">
        <v>33</v>
      </c>
      <c r="L7" s="2" t="s">
        <v>11</v>
      </c>
      <c r="M7" s="4" t="s">
        <v>27</v>
      </c>
      <c r="N7" s="2" t="s">
        <v>32</v>
      </c>
    </row>
    <row r="8" spans="1:14" x14ac:dyDescent="0.25">
      <c r="A8" s="2">
        <v>7</v>
      </c>
      <c r="B8" s="2" t="s">
        <v>34</v>
      </c>
      <c r="C8" s="3">
        <v>46282</v>
      </c>
      <c r="D8" s="2" t="s">
        <v>35</v>
      </c>
      <c r="E8" s="3" t="s">
        <v>60</v>
      </c>
      <c r="F8" s="2">
        <v>39715</v>
      </c>
      <c r="G8" s="2">
        <v>33383</v>
      </c>
      <c r="H8" s="2">
        <v>73098</v>
      </c>
      <c r="I8" s="2">
        <v>1630</v>
      </c>
      <c r="J8" s="2">
        <f t="shared" si="0"/>
        <v>74728</v>
      </c>
      <c r="K8" s="2" t="s">
        <v>33</v>
      </c>
      <c r="L8" s="2" t="s">
        <v>11</v>
      </c>
      <c r="M8" s="4" t="s">
        <v>27</v>
      </c>
      <c r="N8" s="2" t="s">
        <v>32</v>
      </c>
    </row>
    <row r="9" spans="1:14" x14ac:dyDescent="0.25">
      <c r="A9" s="2">
        <v>8</v>
      </c>
      <c r="B9" s="2" t="s">
        <v>36</v>
      </c>
      <c r="C9" s="3">
        <v>46282</v>
      </c>
      <c r="D9" s="2" t="s">
        <v>37</v>
      </c>
      <c r="E9" s="3" t="s">
        <v>60</v>
      </c>
      <c r="F9" s="2">
        <v>39715</v>
      </c>
      <c r="G9" s="2">
        <v>33383</v>
      </c>
      <c r="H9" s="2">
        <v>73098</v>
      </c>
      <c r="I9" s="2">
        <v>1630</v>
      </c>
      <c r="J9" s="2">
        <f t="shared" si="0"/>
        <v>74728</v>
      </c>
      <c r="K9" s="2" t="s">
        <v>33</v>
      </c>
      <c r="L9" s="2" t="s">
        <v>11</v>
      </c>
      <c r="M9" s="4" t="s">
        <v>27</v>
      </c>
      <c r="N9" s="2" t="s">
        <v>32</v>
      </c>
    </row>
    <row r="10" spans="1:14" x14ac:dyDescent="0.25">
      <c r="A10" s="2">
        <v>9</v>
      </c>
      <c r="B10" s="2" t="s">
        <v>38</v>
      </c>
      <c r="C10" s="3">
        <v>46282</v>
      </c>
      <c r="D10" s="2" t="s">
        <v>39</v>
      </c>
      <c r="E10" s="3" t="s">
        <v>60</v>
      </c>
      <c r="F10" s="2">
        <v>39715</v>
      </c>
      <c r="G10" s="2">
        <v>33383</v>
      </c>
      <c r="H10" s="2">
        <v>73098</v>
      </c>
      <c r="I10" s="2">
        <v>1630</v>
      </c>
      <c r="J10" s="2">
        <f t="shared" si="0"/>
        <v>74728</v>
      </c>
      <c r="K10" s="2" t="s">
        <v>33</v>
      </c>
      <c r="L10" s="2" t="s">
        <v>11</v>
      </c>
      <c r="M10" s="4" t="s">
        <v>27</v>
      </c>
      <c r="N10" s="2" t="s">
        <v>32</v>
      </c>
    </row>
    <row r="11" spans="1:14" x14ac:dyDescent="0.25">
      <c r="A11" s="2">
        <v>10</v>
      </c>
      <c r="B11" s="2" t="s">
        <v>40</v>
      </c>
      <c r="C11" s="3">
        <v>46282</v>
      </c>
      <c r="D11" s="2" t="s">
        <v>41</v>
      </c>
      <c r="E11" s="3" t="s">
        <v>60</v>
      </c>
      <c r="F11" s="2">
        <v>39715</v>
      </c>
      <c r="G11" s="2">
        <v>33383</v>
      </c>
      <c r="H11" s="2">
        <v>73098</v>
      </c>
      <c r="I11" s="2">
        <v>1630</v>
      </c>
      <c r="J11" s="2">
        <f t="shared" si="0"/>
        <v>74728</v>
      </c>
      <c r="K11" s="2" t="s">
        <v>33</v>
      </c>
      <c r="L11" s="2" t="s">
        <v>11</v>
      </c>
      <c r="M11" s="4" t="s">
        <v>27</v>
      </c>
      <c r="N11" s="2" t="s">
        <v>32</v>
      </c>
    </row>
    <row r="12" spans="1:14" x14ac:dyDescent="0.25">
      <c r="A12" s="2">
        <v>11</v>
      </c>
      <c r="B12" s="2" t="s">
        <v>42</v>
      </c>
      <c r="C12" s="3">
        <v>46282</v>
      </c>
      <c r="D12" s="2" t="s">
        <v>43</v>
      </c>
      <c r="E12" s="3" t="s">
        <v>60</v>
      </c>
      <c r="F12" s="2">
        <v>39715</v>
      </c>
      <c r="G12" s="2">
        <v>33383</v>
      </c>
      <c r="H12" s="2">
        <v>73098</v>
      </c>
      <c r="I12" s="2">
        <v>1630</v>
      </c>
      <c r="J12" s="2">
        <f t="shared" si="0"/>
        <v>74728</v>
      </c>
      <c r="K12" s="2" t="s">
        <v>33</v>
      </c>
      <c r="L12" s="2" t="s">
        <v>11</v>
      </c>
      <c r="M12" s="4" t="s">
        <v>27</v>
      </c>
      <c r="N12" s="2" t="s">
        <v>32</v>
      </c>
    </row>
    <row r="13" spans="1:14" x14ac:dyDescent="0.25">
      <c r="A13" s="2">
        <v>12</v>
      </c>
      <c r="B13" s="2" t="s">
        <v>44</v>
      </c>
      <c r="C13" s="3">
        <v>46282</v>
      </c>
      <c r="D13" s="2" t="s">
        <v>45</v>
      </c>
      <c r="E13" s="3" t="s">
        <v>60</v>
      </c>
      <c r="F13" s="2">
        <v>39715</v>
      </c>
      <c r="G13" s="2">
        <v>33383</v>
      </c>
      <c r="H13" s="2">
        <v>73098</v>
      </c>
      <c r="I13" s="2">
        <v>1630</v>
      </c>
      <c r="J13" s="2">
        <f t="shared" si="0"/>
        <v>74728</v>
      </c>
      <c r="K13" s="2" t="s">
        <v>33</v>
      </c>
      <c r="L13" s="2" t="s">
        <v>11</v>
      </c>
      <c r="M13" s="4" t="s">
        <v>27</v>
      </c>
      <c r="N13" s="2" t="s">
        <v>46</v>
      </c>
    </row>
    <row r="14" spans="1:14" x14ac:dyDescent="0.25">
      <c r="A14" s="2">
        <v>13</v>
      </c>
      <c r="B14" s="2" t="s">
        <v>47</v>
      </c>
      <c r="C14" s="3">
        <v>46282</v>
      </c>
      <c r="D14" s="2" t="s">
        <v>48</v>
      </c>
      <c r="E14" s="3" t="s">
        <v>60</v>
      </c>
      <c r="F14" s="2">
        <v>39715</v>
      </c>
      <c r="G14" s="2">
        <v>33383</v>
      </c>
      <c r="H14" s="2">
        <v>73098</v>
      </c>
      <c r="I14" s="2">
        <v>1630</v>
      </c>
      <c r="J14" s="2">
        <f t="shared" si="0"/>
        <v>74728</v>
      </c>
      <c r="K14" s="2" t="s">
        <v>33</v>
      </c>
      <c r="L14" s="2" t="s">
        <v>11</v>
      </c>
      <c r="M14" s="4" t="s">
        <v>27</v>
      </c>
      <c r="N14" s="2" t="s">
        <v>46</v>
      </c>
    </row>
    <row r="15" spans="1:14" x14ac:dyDescent="0.25">
      <c r="A15" s="2">
        <v>14</v>
      </c>
      <c r="B15" s="2" t="s">
        <v>49</v>
      </c>
      <c r="C15" s="3">
        <v>46282</v>
      </c>
      <c r="D15" s="2" t="s">
        <v>50</v>
      </c>
      <c r="E15" s="3" t="s">
        <v>60</v>
      </c>
      <c r="F15" s="2">
        <v>39715</v>
      </c>
      <c r="G15" s="2">
        <v>33383</v>
      </c>
      <c r="H15" s="2">
        <v>73098</v>
      </c>
      <c r="I15" s="2">
        <v>1630</v>
      </c>
      <c r="J15" s="2">
        <f t="shared" si="0"/>
        <v>74728</v>
      </c>
      <c r="K15" s="2" t="s">
        <v>33</v>
      </c>
      <c r="L15" s="2" t="s">
        <v>11</v>
      </c>
      <c r="M15" s="4" t="s">
        <v>27</v>
      </c>
      <c r="N15" s="2" t="s">
        <v>46</v>
      </c>
    </row>
    <row r="16" spans="1:14" x14ac:dyDescent="0.25">
      <c r="A16" s="2">
        <v>15</v>
      </c>
      <c r="B16" s="2" t="s">
        <v>51</v>
      </c>
      <c r="C16" s="3">
        <v>46282</v>
      </c>
      <c r="D16" s="2" t="s">
        <v>52</v>
      </c>
      <c r="E16" s="3" t="s">
        <v>60</v>
      </c>
      <c r="F16" s="2">
        <v>39715</v>
      </c>
      <c r="G16" s="2">
        <v>33383</v>
      </c>
      <c r="H16" s="2">
        <v>73098</v>
      </c>
      <c r="I16" s="2">
        <v>1630</v>
      </c>
      <c r="J16" s="2">
        <f t="shared" si="0"/>
        <v>74728</v>
      </c>
      <c r="K16" s="2" t="s">
        <v>33</v>
      </c>
      <c r="L16" s="2" t="s">
        <v>11</v>
      </c>
      <c r="M16" s="4" t="s">
        <v>27</v>
      </c>
      <c r="N16" s="2" t="s">
        <v>46</v>
      </c>
    </row>
    <row r="17" spans="1:14" x14ac:dyDescent="0.25">
      <c r="A17" s="2">
        <v>16</v>
      </c>
      <c r="B17" s="2" t="s">
        <v>53</v>
      </c>
      <c r="C17" s="3">
        <v>46282</v>
      </c>
      <c r="D17" s="2" t="s">
        <v>54</v>
      </c>
      <c r="E17" s="3" t="s">
        <v>60</v>
      </c>
      <c r="F17" s="2">
        <v>39715</v>
      </c>
      <c r="G17" s="2">
        <v>33383</v>
      </c>
      <c r="H17" s="2">
        <v>73098</v>
      </c>
      <c r="I17" s="2">
        <v>1630</v>
      </c>
      <c r="J17" s="2">
        <f t="shared" si="0"/>
        <v>74728</v>
      </c>
      <c r="K17" s="2" t="s">
        <v>33</v>
      </c>
      <c r="L17" s="2" t="s">
        <v>11</v>
      </c>
      <c r="M17" s="4" t="s">
        <v>27</v>
      </c>
      <c r="N17" s="2" t="s">
        <v>46</v>
      </c>
    </row>
    <row r="18" spans="1:14" x14ac:dyDescent="0.25">
      <c r="A18" s="15">
        <v>17</v>
      </c>
      <c r="B18" s="2" t="s">
        <v>63</v>
      </c>
      <c r="C18" s="3">
        <v>46282</v>
      </c>
      <c r="D18" s="2" t="s">
        <v>66</v>
      </c>
      <c r="E18" s="3" t="s">
        <v>60</v>
      </c>
      <c r="F18" s="2">
        <v>39715</v>
      </c>
      <c r="G18" s="2">
        <v>33383</v>
      </c>
      <c r="H18" s="2">
        <v>73098</v>
      </c>
      <c r="I18" s="2">
        <v>1630</v>
      </c>
      <c r="J18" s="2">
        <f t="shared" si="0"/>
        <v>74728</v>
      </c>
      <c r="K18" s="2" t="s">
        <v>67</v>
      </c>
      <c r="L18" s="2" t="s">
        <v>69</v>
      </c>
      <c r="M18" s="4" t="s">
        <v>27</v>
      </c>
      <c r="N18" s="2" t="s">
        <v>68</v>
      </c>
    </row>
    <row r="19" spans="1:14" s="10" customFormat="1" x14ac:dyDescent="0.25">
      <c r="A19" s="2">
        <v>18</v>
      </c>
      <c r="B19" s="2" t="s">
        <v>64</v>
      </c>
      <c r="C19" s="3">
        <v>46282</v>
      </c>
      <c r="D19" s="2" t="s">
        <v>65</v>
      </c>
      <c r="E19" s="3" t="s">
        <v>60</v>
      </c>
      <c r="F19" s="2">
        <v>39715</v>
      </c>
      <c r="G19" s="2">
        <v>33383</v>
      </c>
      <c r="H19" s="2">
        <v>73098</v>
      </c>
      <c r="I19" s="2">
        <v>1630</v>
      </c>
      <c r="J19" s="2">
        <f t="shared" si="0"/>
        <v>74728</v>
      </c>
      <c r="K19" s="2" t="s">
        <v>67</v>
      </c>
      <c r="L19" s="2" t="s">
        <v>70</v>
      </c>
      <c r="M19" s="4" t="s">
        <v>27</v>
      </c>
      <c r="N19" s="2" t="s">
        <v>68</v>
      </c>
    </row>
    <row r="20" spans="1:14" x14ac:dyDescent="0.25">
      <c r="G20" s="14"/>
      <c r="H20" s="14"/>
      <c r="I20" s="14"/>
      <c r="J20" s="14"/>
    </row>
    <row r="21" spans="1:14" x14ac:dyDescent="0.25">
      <c r="G21" s="5" t="s">
        <v>61</v>
      </c>
      <c r="H21" s="8">
        <f>SUM(H2:H20)</f>
        <v>1254671</v>
      </c>
      <c r="I21" s="5"/>
      <c r="J21" s="9">
        <f>SUM(J2:J20)</f>
        <v>1282870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K15" sqref="K15"/>
    </sheetView>
  </sheetViews>
  <sheetFormatPr defaultRowHeight="15" x14ac:dyDescent="0.25"/>
  <cols>
    <col min="1" max="1" width="4.140625" style="1" bestFit="1" customWidth="1"/>
    <col min="2" max="2" width="14.5703125" style="1" bestFit="1" customWidth="1"/>
    <col min="3" max="3" width="7" style="1" bestFit="1" customWidth="1"/>
    <col min="4" max="4" width="8.85546875" style="1" bestFit="1" customWidth="1"/>
    <col min="5" max="5" width="5.140625" style="1" bestFit="1" customWidth="1"/>
    <col min="6" max="6" width="10.85546875" style="1" bestFit="1" customWidth="1"/>
    <col min="7" max="7" width="7.85546875" style="1" bestFit="1" customWidth="1"/>
    <col min="8" max="8" width="9" style="1" bestFit="1" customWidth="1"/>
    <col min="9" max="9" width="6.5703125" style="1" bestFit="1" customWidth="1"/>
    <col min="10" max="10" width="9" style="1" bestFit="1" customWidth="1"/>
    <col min="11" max="11" width="28.140625" style="1" bestFit="1" customWidth="1"/>
    <col min="12" max="12" width="11.7109375" style="1" bestFit="1" customWidth="1"/>
    <col min="13" max="13" width="12.85546875" style="1" bestFit="1" customWidth="1"/>
    <col min="14" max="16384" width="9.140625" style="1"/>
  </cols>
  <sheetData>
    <row r="1" spans="1:14" ht="15.75" x14ac:dyDescent="0.25">
      <c r="A1" s="6" t="s">
        <v>62</v>
      </c>
      <c r="B1" s="6" t="s">
        <v>0</v>
      </c>
      <c r="C1" s="6" t="s">
        <v>1</v>
      </c>
      <c r="D1" s="6" t="s">
        <v>4</v>
      </c>
      <c r="E1" s="6" t="s">
        <v>55</v>
      </c>
      <c r="F1" s="6" t="s">
        <v>6</v>
      </c>
      <c r="G1" s="6" t="s">
        <v>7</v>
      </c>
      <c r="H1" s="6" t="s">
        <v>8</v>
      </c>
      <c r="I1" s="6" t="s">
        <v>56</v>
      </c>
      <c r="J1" s="6" t="s">
        <v>57</v>
      </c>
      <c r="K1" s="6" t="s">
        <v>9</v>
      </c>
      <c r="L1" s="6" t="s">
        <v>2</v>
      </c>
      <c r="M1" s="6" t="s">
        <v>3</v>
      </c>
      <c r="N1" s="6" t="s">
        <v>5</v>
      </c>
    </row>
    <row r="2" spans="1:14" x14ac:dyDescent="0.25">
      <c r="A2" s="2">
        <v>1</v>
      </c>
      <c r="B2" s="2" t="s">
        <v>30</v>
      </c>
      <c r="C2" s="3">
        <v>46282</v>
      </c>
      <c r="D2" s="2" t="s">
        <v>31</v>
      </c>
      <c r="E2" s="3" t="s">
        <v>60</v>
      </c>
      <c r="F2" s="2">
        <v>39715</v>
      </c>
      <c r="G2" s="2">
        <v>33383</v>
      </c>
      <c r="H2" s="2">
        <v>73098</v>
      </c>
      <c r="I2" s="2">
        <v>1630</v>
      </c>
      <c r="J2" s="2">
        <v>74728</v>
      </c>
      <c r="K2" s="2" t="s">
        <v>33</v>
      </c>
      <c r="L2" s="2" t="s">
        <v>11</v>
      </c>
      <c r="M2" s="4" t="s">
        <v>27</v>
      </c>
      <c r="N2" s="2" t="s">
        <v>32</v>
      </c>
    </row>
    <row r="3" spans="1:14" x14ac:dyDescent="0.25">
      <c r="A3" s="2">
        <v>2</v>
      </c>
      <c r="B3" s="2" t="s">
        <v>34</v>
      </c>
      <c r="C3" s="3">
        <v>46282</v>
      </c>
      <c r="D3" s="2" t="s">
        <v>35</v>
      </c>
      <c r="E3" s="3" t="s">
        <v>60</v>
      </c>
      <c r="F3" s="2">
        <v>39715</v>
      </c>
      <c r="G3" s="2">
        <v>33383</v>
      </c>
      <c r="H3" s="2">
        <v>73098</v>
      </c>
      <c r="I3" s="2">
        <v>1630</v>
      </c>
      <c r="J3" s="2">
        <v>74728</v>
      </c>
      <c r="K3" s="2" t="s">
        <v>33</v>
      </c>
      <c r="L3" s="2" t="s">
        <v>11</v>
      </c>
      <c r="M3" s="4" t="s">
        <v>27</v>
      </c>
      <c r="N3" s="2" t="s">
        <v>32</v>
      </c>
    </row>
    <row r="4" spans="1:14" x14ac:dyDescent="0.25">
      <c r="A4" s="2">
        <v>3</v>
      </c>
      <c r="B4" s="2" t="s">
        <v>36</v>
      </c>
      <c r="C4" s="3">
        <v>46282</v>
      </c>
      <c r="D4" s="2" t="s">
        <v>37</v>
      </c>
      <c r="E4" s="3" t="s">
        <v>60</v>
      </c>
      <c r="F4" s="2">
        <v>39715</v>
      </c>
      <c r="G4" s="2">
        <v>33383</v>
      </c>
      <c r="H4" s="2">
        <v>73098</v>
      </c>
      <c r="I4" s="2">
        <v>1630</v>
      </c>
      <c r="J4" s="2">
        <v>74728</v>
      </c>
      <c r="K4" s="2" t="s">
        <v>33</v>
      </c>
      <c r="L4" s="2" t="s">
        <v>11</v>
      </c>
      <c r="M4" s="4" t="s">
        <v>27</v>
      </c>
      <c r="N4" s="2" t="s">
        <v>32</v>
      </c>
    </row>
    <row r="5" spans="1:14" x14ac:dyDescent="0.25">
      <c r="A5" s="2">
        <v>4</v>
      </c>
      <c r="B5" s="2" t="s">
        <v>38</v>
      </c>
      <c r="C5" s="3">
        <v>46282</v>
      </c>
      <c r="D5" s="2" t="s">
        <v>39</v>
      </c>
      <c r="E5" s="3" t="s">
        <v>60</v>
      </c>
      <c r="F5" s="2">
        <v>39715</v>
      </c>
      <c r="G5" s="2">
        <v>33383</v>
      </c>
      <c r="H5" s="2">
        <v>73098</v>
      </c>
      <c r="I5" s="2">
        <v>1630</v>
      </c>
      <c r="J5" s="2">
        <v>74728</v>
      </c>
      <c r="K5" s="2" t="s">
        <v>33</v>
      </c>
      <c r="L5" s="2" t="s">
        <v>11</v>
      </c>
      <c r="M5" s="4" t="s">
        <v>27</v>
      </c>
      <c r="N5" s="2" t="s">
        <v>32</v>
      </c>
    </row>
    <row r="6" spans="1:14" x14ac:dyDescent="0.25">
      <c r="A6" s="2">
        <v>5</v>
      </c>
      <c r="B6" s="2" t="s">
        <v>40</v>
      </c>
      <c r="C6" s="3">
        <v>46282</v>
      </c>
      <c r="D6" s="2" t="s">
        <v>41</v>
      </c>
      <c r="E6" s="3" t="s">
        <v>60</v>
      </c>
      <c r="F6" s="2">
        <v>39715</v>
      </c>
      <c r="G6" s="2">
        <v>33383</v>
      </c>
      <c r="H6" s="2">
        <v>73098</v>
      </c>
      <c r="I6" s="2">
        <v>1630</v>
      </c>
      <c r="J6" s="2">
        <v>74728</v>
      </c>
      <c r="K6" s="2" t="s">
        <v>33</v>
      </c>
      <c r="L6" s="2" t="s">
        <v>11</v>
      </c>
      <c r="M6" s="4" t="s">
        <v>27</v>
      </c>
      <c r="N6" s="2" t="s">
        <v>32</v>
      </c>
    </row>
    <row r="7" spans="1:14" x14ac:dyDescent="0.25">
      <c r="A7" s="2">
        <v>6</v>
      </c>
      <c r="B7" s="2" t="s">
        <v>42</v>
      </c>
      <c r="C7" s="3">
        <v>46282</v>
      </c>
      <c r="D7" s="2" t="s">
        <v>43</v>
      </c>
      <c r="E7" s="3" t="s">
        <v>60</v>
      </c>
      <c r="F7" s="2">
        <v>39715</v>
      </c>
      <c r="G7" s="2">
        <v>33383</v>
      </c>
      <c r="H7" s="2">
        <v>73098</v>
      </c>
      <c r="I7" s="2">
        <v>1630</v>
      </c>
      <c r="J7" s="2">
        <v>74728</v>
      </c>
      <c r="K7" s="2" t="s">
        <v>33</v>
      </c>
      <c r="L7" s="2" t="s">
        <v>11</v>
      </c>
      <c r="M7" s="4" t="s">
        <v>27</v>
      </c>
      <c r="N7" s="2" t="s">
        <v>32</v>
      </c>
    </row>
    <row r="8" spans="1:14" x14ac:dyDescent="0.25">
      <c r="A8" s="2">
        <v>7</v>
      </c>
      <c r="B8" s="2" t="s">
        <v>44</v>
      </c>
      <c r="C8" s="3">
        <v>46282</v>
      </c>
      <c r="D8" s="2" t="s">
        <v>45</v>
      </c>
      <c r="E8" s="3" t="s">
        <v>60</v>
      </c>
      <c r="F8" s="2">
        <v>39715</v>
      </c>
      <c r="G8" s="2">
        <v>33383</v>
      </c>
      <c r="H8" s="2">
        <v>73098</v>
      </c>
      <c r="I8" s="2">
        <v>1630</v>
      </c>
      <c r="J8" s="2">
        <v>74728</v>
      </c>
      <c r="K8" s="2" t="s">
        <v>33</v>
      </c>
      <c r="L8" s="2" t="s">
        <v>11</v>
      </c>
      <c r="M8" s="4" t="s">
        <v>27</v>
      </c>
      <c r="N8" s="2" t="s">
        <v>46</v>
      </c>
    </row>
    <row r="9" spans="1:14" x14ac:dyDescent="0.25">
      <c r="A9" s="2">
        <v>8</v>
      </c>
      <c r="B9" s="2" t="s">
        <v>47</v>
      </c>
      <c r="C9" s="3">
        <v>46282</v>
      </c>
      <c r="D9" s="2" t="s">
        <v>48</v>
      </c>
      <c r="E9" s="3" t="s">
        <v>60</v>
      </c>
      <c r="F9" s="2">
        <v>39715</v>
      </c>
      <c r="G9" s="2">
        <v>33383</v>
      </c>
      <c r="H9" s="2">
        <v>73098</v>
      </c>
      <c r="I9" s="2">
        <v>1630</v>
      </c>
      <c r="J9" s="2">
        <v>74728</v>
      </c>
      <c r="K9" s="2" t="s">
        <v>33</v>
      </c>
      <c r="L9" s="2" t="s">
        <v>11</v>
      </c>
      <c r="M9" s="4" t="s">
        <v>27</v>
      </c>
      <c r="N9" s="2" t="s">
        <v>46</v>
      </c>
    </row>
    <row r="10" spans="1:14" x14ac:dyDescent="0.25">
      <c r="A10" s="2">
        <v>9</v>
      </c>
      <c r="B10" s="2" t="s">
        <v>49</v>
      </c>
      <c r="C10" s="3">
        <v>46282</v>
      </c>
      <c r="D10" s="2" t="s">
        <v>50</v>
      </c>
      <c r="E10" s="3" t="s">
        <v>60</v>
      </c>
      <c r="F10" s="2">
        <v>39715</v>
      </c>
      <c r="G10" s="2">
        <v>33383</v>
      </c>
      <c r="H10" s="2">
        <v>73098</v>
      </c>
      <c r="I10" s="2">
        <v>1630</v>
      </c>
      <c r="J10" s="2">
        <v>74728</v>
      </c>
      <c r="K10" s="2" t="s">
        <v>33</v>
      </c>
      <c r="L10" s="2" t="s">
        <v>11</v>
      </c>
      <c r="M10" s="4" t="s">
        <v>27</v>
      </c>
      <c r="N10" s="2" t="s">
        <v>46</v>
      </c>
    </row>
    <row r="11" spans="1:14" x14ac:dyDescent="0.25">
      <c r="A11" s="2">
        <v>10</v>
      </c>
      <c r="B11" s="2" t="s">
        <v>51</v>
      </c>
      <c r="C11" s="3">
        <v>46282</v>
      </c>
      <c r="D11" s="2" t="s">
        <v>52</v>
      </c>
      <c r="E11" s="3" t="s">
        <v>60</v>
      </c>
      <c r="F11" s="2">
        <v>39715</v>
      </c>
      <c r="G11" s="2">
        <v>33383</v>
      </c>
      <c r="H11" s="2">
        <v>73098</v>
      </c>
      <c r="I11" s="2">
        <v>1630</v>
      </c>
      <c r="J11" s="2">
        <v>74728</v>
      </c>
      <c r="K11" s="2" t="s">
        <v>33</v>
      </c>
      <c r="L11" s="2" t="s">
        <v>11</v>
      </c>
      <c r="M11" s="4" t="s">
        <v>27</v>
      </c>
      <c r="N11" s="2" t="s">
        <v>46</v>
      </c>
    </row>
    <row r="12" spans="1:14" x14ac:dyDescent="0.25">
      <c r="A12" s="2">
        <v>11</v>
      </c>
      <c r="B12" s="2" t="s">
        <v>53</v>
      </c>
      <c r="C12" s="3">
        <v>46282</v>
      </c>
      <c r="D12" s="2" t="s">
        <v>54</v>
      </c>
      <c r="E12" s="3" t="s">
        <v>60</v>
      </c>
      <c r="F12" s="2">
        <v>39715</v>
      </c>
      <c r="G12" s="2">
        <v>33383</v>
      </c>
      <c r="H12" s="2">
        <v>73098</v>
      </c>
      <c r="I12" s="2">
        <v>1630</v>
      </c>
      <c r="J12" s="2">
        <v>74728</v>
      </c>
      <c r="K12" s="2" t="s">
        <v>33</v>
      </c>
      <c r="L12" s="2" t="s">
        <v>11</v>
      </c>
      <c r="M12" s="4" t="s">
        <v>27</v>
      </c>
      <c r="N12" s="2" t="s">
        <v>46</v>
      </c>
    </row>
    <row r="13" spans="1:14" x14ac:dyDescent="0.25">
      <c r="G13" s="5"/>
      <c r="H13" s="5"/>
      <c r="I13" s="5"/>
      <c r="J13" s="5"/>
    </row>
    <row r="14" spans="1:14" x14ac:dyDescent="0.25">
      <c r="G14" s="5" t="s">
        <v>61</v>
      </c>
      <c r="H14" s="8">
        <f>SUM(H2:H13)</f>
        <v>804078</v>
      </c>
      <c r="I14" s="5"/>
      <c r="J14" s="8">
        <f>SUM(J2:J13)</f>
        <v>822008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K6" sqref="K6"/>
    </sheetView>
  </sheetViews>
  <sheetFormatPr defaultRowHeight="15" x14ac:dyDescent="0.25"/>
  <cols>
    <col min="1" max="1" width="4.140625" bestFit="1" customWidth="1"/>
    <col min="2" max="2" width="14.5703125" bestFit="1" customWidth="1"/>
    <col min="4" max="4" width="27.85546875" bestFit="1" customWidth="1"/>
    <col min="6" max="6" width="10.140625" bestFit="1" customWidth="1"/>
    <col min="8" max="8" width="9" bestFit="1" customWidth="1"/>
    <col min="9" max="9" width="6.5703125" bestFit="1" customWidth="1"/>
    <col min="10" max="10" width="9" bestFit="1" customWidth="1"/>
    <col min="11" max="11" width="28.140625" bestFit="1" customWidth="1"/>
  </cols>
  <sheetData>
    <row r="1" spans="1:14" ht="15.75" x14ac:dyDescent="0.25">
      <c r="A1" s="6" t="s">
        <v>62</v>
      </c>
      <c r="B1" s="6" t="s">
        <v>0</v>
      </c>
      <c r="C1" s="6" t="s">
        <v>1</v>
      </c>
      <c r="D1" s="6" t="s">
        <v>4</v>
      </c>
      <c r="E1" s="6" t="s">
        <v>55</v>
      </c>
      <c r="F1" s="6" t="s">
        <v>6</v>
      </c>
      <c r="G1" s="6" t="s">
        <v>7</v>
      </c>
      <c r="H1" s="6" t="s">
        <v>8</v>
      </c>
      <c r="I1" s="6" t="s">
        <v>56</v>
      </c>
      <c r="J1" s="6" t="s">
        <v>57</v>
      </c>
      <c r="K1" s="6" t="s">
        <v>9</v>
      </c>
      <c r="L1" s="6" t="s">
        <v>2</v>
      </c>
      <c r="M1" s="6" t="s">
        <v>3</v>
      </c>
      <c r="N1" s="6" t="s">
        <v>5</v>
      </c>
    </row>
    <row r="2" spans="1:14" x14ac:dyDescent="0.25">
      <c r="A2" s="2">
        <v>1</v>
      </c>
      <c r="B2" s="2" t="s">
        <v>26</v>
      </c>
      <c r="C2" s="3">
        <v>46282</v>
      </c>
      <c r="D2" s="2" t="s">
        <v>16</v>
      </c>
      <c r="E2" s="3" t="s">
        <v>59</v>
      </c>
      <c r="F2" s="2">
        <v>30890</v>
      </c>
      <c r="G2" s="2">
        <v>15860</v>
      </c>
      <c r="H2" s="2">
        <v>46750</v>
      </c>
      <c r="I2" s="2">
        <v>1141</v>
      </c>
      <c r="J2" s="2">
        <v>47891</v>
      </c>
      <c r="K2" s="2" t="s">
        <v>18</v>
      </c>
      <c r="L2" s="2" t="s">
        <v>11</v>
      </c>
      <c r="M2" s="4" t="s">
        <v>27</v>
      </c>
      <c r="N2" s="2" t="s">
        <v>17</v>
      </c>
    </row>
    <row r="3" spans="1:14" x14ac:dyDescent="0.25">
      <c r="A3" s="2">
        <v>2</v>
      </c>
      <c r="B3" s="2" t="s">
        <v>28</v>
      </c>
      <c r="C3" s="3">
        <v>46282</v>
      </c>
      <c r="D3" s="2" t="s">
        <v>19</v>
      </c>
      <c r="E3" s="3" t="s">
        <v>59</v>
      </c>
      <c r="F3" s="2">
        <v>30890</v>
      </c>
      <c r="G3" s="2">
        <v>15860</v>
      </c>
      <c r="H3" s="2">
        <v>46750</v>
      </c>
      <c r="I3" s="2">
        <v>1141</v>
      </c>
      <c r="J3" s="2">
        <v>47891</v>
      </c>
      <c r="K3" s="2" t="s">
        <v>18</v>
      </c>
      <c r="L3" s="2" t="s">
        <v>11</v>
      </c>
      <c r="M3" s="4" t="s">
        <v>27</v>
      </c>
      <c r="N3" s="2" t="s">
        <v>17</v>
      </c>
    </row>
    <row r="4" spans="1:14" x14ac:dyDescent="0.25">
      <c r="A4" s="2">
        <v>3</v>
      </c>
      <c r="B4" s="2" t="s">
        <v>29</v>
      </c>
      <c r="C4" s="3">
        <v>46282</v>
      </c>
      <c r="D4" s="2" t="s">
        <v>20</v>
      </c>
      <c r="E4" s="3" t="s">
        <v>59</v>
      </c>
      <c r="F4" s="2">
        <v>30890</v>
      </c>
      <c r="G4" s="2">
        <v>15860</v>
      </c>
      <c r="H4" s="2">
        <v>46750</v>
      </c>
      <c r="I4" s="2">
        <v>1141</v>
      </c>
      <c r="J4" s="2">
        <v>47891</v>
      </c>
      <c r="K4" s="2" t="s">
        <v>18</v>
      </c>
      <c r="L4" s="2" t="s">
        <v>11</v>
      </c>
      <c r="M4" s="4" t="s">
        <v>27</v>
      </c>
      <c r="N4" s="2" t="s">
        <v>17</v>
      </c>
    </row>
    <row r="5" spans="1:14" x14ac:dyDescent="0.25">
      <c r="G5" s="12"/>
      <c r="H5" s="12"/>
      <c r="I5" s="12"/>
      <c r="J5" s="12"/>
    </row>
    <row r="6" spans="1:14" x14ac:dyDescent="0.25">
      <c r="G6" s="12" t="s">
        <v>61</v>
      </c>
      <c r="H6" s="13">
        <f>SUM(H2:H5)</f>
        <v>140250</v>
      </c>
      <c r="I6" s="12"/>
      <c r="J6" s="13">
        <f>SUM(J2:J5)</f>
        <v>143673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F3" sqref="F3"/>
    </sheetView>
  </sheetViews>
  <sheetFormatPr defaultRowHeight="15" x14ac:dyDescent="0.25"/>
  <cols>
    <col min="2" max="2" width="14.5703125" bestFit="1" customWidth="1"/>
    <col min="4" max="4" width="31.140625" bestFit="1" customWidth="1"/>
    <col min="6" max="6" width="10.140625" bestFit="1" customWidth="1"/>
    <col min="8" max="8" width="9" bestFit="1" customWidth="1"/>
    <col min="10" max="10" width="9" bestFit="1" customWidth="1"/>
    <col min="11" max="11" width="28.140625" bestFit="1" customWidth="1"/>
  </cols>
  <sheetData>
    <row r="1" spans="1:14" ht="15.75" x14ac:dyDescent="0.25">
      <c r="A1" s="6" t="s">
        <v>62</v>
      </c>
      <c r="B1" s="6" t="s">
        <v>0</v>
      </c>
      <c r="C1" s="6" t="s">
        <v>1</v>
      </c>
      <c r="D1" s="6" t="s">
        <v>4</v>
      </c>
      <c r="E1" s="6" t="s">
        <v>55</v>
      </c>
      <c r="F1" s="6" t="s">
        <v>6</v>
      </c>
      <c r="G1" s="6" t="s">
        <v>7</v>
      </c>
      <c r="H1" s="6" t="s">
        <v>8</v>
      </c>
      <c r="I1" s="6" t="s">
        <v>56</v>
      </c>
      <c r="J1" s="6" t="s">
        <v>57</v>
      </c>
      <c r="K1" s="6" t="s">
        <v>9</v>
      </c>
      <c r="L1" s="6" t="s">
        <v>2</v>
      </c>
      <c r="M1" s="6" t="s">
        <v>3</v>
      </c>
      <c r="N1" s="6" t="s">
        <v>5</v>
      </c>
    </row>
    <row r="2" spans="1:14" x14ac:dyDescent="0.25">
      <c r="A2" s="2">
        <v>1</v>
      </c>
      <c r="B2" s="11" t="s">
        <v>10</v>
      </c>
      <c r="C2" s="3">
        <v>46282</v>
      </c>
      <c r="D2" s="2" t="s">
        <v>13</v>
      </c>
      <c r="E2" s="3" t="s">
        <v>58</v>
      </c>
      <c r="F2" s="2">
        <v>84987</v>
      </c>
      <c r="G2" s="2">
        <v>32410</v>
      </c>
      <c r="H2" s="2">
        <v>117397</v>
      </c>
      <c r="I2" s="2">
        <v>2445</v>
      </c>
      <c r="J2" s="2">
        <f>I2+H2</f>
        <v>119842</v>
      </c>
      <c r="K2" s="2" t="s">
        <v>15</v>
      </c>
      <c r="L2" s="2" t="s">
        <v>11</v>
      </c>
      <c r="M2" s="4" t="s">
        <v>12</v>
      </c>
      <c r="N2" s="2" t="s">
        <v>14</v>
      </c>
    </row>
    <row r="3" spans="1:14" x14ac:dyDescent="0.25">
      <c r="G3" s="12"/>
      <c r="H3" s="12"/>
      <c r="I3" s="12"/>
      <c r="J3" s="12"/>
    </row>
    <row r="4" spans="1:14" x14ac:dyDescent="0.25">
      <c r="G4" s="12" t="s">
        <v>61</v>
      </c>
      <c r="H4" s="13">
        <f>SUM(H2:H3)</f>
        <v>117397</v>
      </c>
      <c r="I4" s="12"/>
      <c r="J4" s="13">
        <f>SUM(J2:J3)</f>
        <v>119842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K6" sqref="K6"/>
    </sheetView>
  </sheetViews>
  <sheetFormatPr defaultRowHeight="15" x14ac:dyDescent="0.25"/>
  <cols>
    <col min="1" max="1" width="4.140625" bestFit="1" customWidth="1"/>
    <col min="2" max="2" width="14.5703125" bestFit="1" customWidth="1"/>
    <col min="4" max="4" width="22.85546875" bestFit="1" customWidth="1"/>
    <col min="6" max="6" width="10.140625" bestFit="1" customWidth="1"/>
    <col min="8" max="8" width="8" bestFit="1" customWidth="1"/>
    <col min="9" max="9" width="6.5703125" bestFit="1" customWidth="1"/>
    <col min="10" max="10" width="8" bestFit="1" customWidth="1"/>
    <col min="11" max="11" width="28.140625" bestFit="1" customWidth="1"/>
  </cols>
  <sheetData>
    <row r="1" spans="1:14" ht="15.75" x14ac:dyDescent="0.25">
      <c r="A1" s="6" t="s">
        <v>62</v>
      </c>
      <c r="B1" s="6" t="s">
        <v>0</v>
      </c>
      <c r="C1" s="6" t="s">
        <v>1</v>
      </c>
      <c r="D1" s="6" t="s">
        <v>4</v>
      </c>
      <c r="E1" s="6" t="s">
        <v>55</v>
      </c>
      <c r="F1" s="6" t="s">
        <v>6</v>
      </c>
      <c r="G1" s="6" t="s">
        <v>7</v>
      </c>
      <c r="H1" s="6" t="s">
        <v>8</v>
      </c>
      <c r="I1" s="6" t="s">
        <v>56</v>
      </c>
      <c r="J1" s="6" t="s">
        <v>57</v>
      </c>
      <c r="K1" s="6" t="s">
        <v>9</v>
      </c>
      <c r="L1" s="6" t="s">
        <v>2</v>
      </c>
      <c r="M1" s="6" t="s">
        <v>3</v>
      </c>
      <c r="N1" s="6" t="s">
        <v>5</v>
      </c>
    </row>
    <row r="2" spans="1:14" x14ac:dyDescent="0.25">
      <c r="A2" s="2">
        <v>1</v>
      </c>
      <c r="B2" s="2" t="s">
        <v>21</v>
      </c>
      <c r="C2" s="3">
        <v>46282</v>
      </c>
      <c r="D2" s="2" t="s">
        <v>23</v>
      </c>
      <c r="E2" s="3" t="s">
        <v>59</v>
      </c>
      <c r="F2" s="2">
        <v>30890</v>
      </c>
      <c r="G2" s="2">
        <v>15860</v>
      </c>
      <c r="H2" s="2">
        <v>46750</v>
      </c>
      <c r="I2" s="2">
        <v>1141</v>
      </c>
      <c r="J2" s="2">
        <v>47891</v>
      </c>
      <c r="K2" s="2" t="s">
        <v>25</v>
      </c>
      <c r="L2" s="2" t="s">
        <v>11</v>
      </c>
      <c r="M2" s="4" t="s">
        <v>22</v>
      </c>
      <c r="N2" s="2" t="s">
        <v>24</v>
      </c>
    </row>
    <row r="3" spans="1:14" x14ac:dyDescent="0.25">
      <c r="G3" s="12"/>
      <c r="H3" s="12"/>
      <c r="I3" s="12"/>
      <c r="J3" s="12"/>
    </row>
    <row r="4" spans="1:14" x14ac:dyDescent="0.25">
      <c r="G4" s="12" t="s">
        <v>61</v>
      </c>
      <c r="H4" s="13">
        <f>SUM(H2:H3)</f>
        <v>46750</v>
      </c>
      <c r="I4" s="12"/>
      <c r="J4" s="13">
        <f>SUM(J2:J3)</f>
        <v>47891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I7" sqref="I7"/>
    </sheetView>
  </sheetViews>
  <sheetFormatPr defaultRowHeight="15" x14ac:dyDescent="0.25"/>
  <cols>
    <col min="1" max="1" width="4.140625" bestFit="1" customWidth="1"/>
    <col min="2" max="2" width="15.5703125" bestFit="1" customWidth="1"/>
    <col min="4" max="4" width="22.7109375" bestFit="1" customWidth="1"/>
    <col min="5" max="5" width="11.7109375" bestFit="1" customWidth="1"/>
    <col min="6" max="6" width="10.140625" bestFit="1" customWidth="1"/>
    <col min="7" max="7" width="6" bestFit="1" customWidth="1"/>
    <col min="8" max="8" width="9" bestFit="1" customWidth="1"/>
    <col min="9" max="9" width="6.5703125" bestFit="1" customWidth="1"/>
    <col min="10" max="10" width="9" bestFit="1" customWidth="1"/>
    <col min="11" max="11" width="28.140625" bestFit="1" customWidth="1"/>
  </cols>
  <sheetData>
    <row r="1" spans="1:14" ht="15.75" x14ac:dyDescent="0.25">
      <c r="A1" s="6" t="s">
        <v>62</v>
      </c>
      <c r="B1" s="6" t="s">
        <v>0</v>
      </c>
      <c r="C1" s="6" t="s">
        <v>1</v>
      </c>
      <c r="D1" s="6" t="s">
        <v>4</v>
      </c>
      <c r="E1" s="6" t="s">
        <v>55</v>
      </c>
      <c r="F1" s="6" t="s">
        <v>6</v>
      </c>
      <c r="G1" s="6" t="s">
        <v>7</v>
      </c>
      <c r="H1" s="6" t="s">
        <v>8</v>
      </c>
      <c r="I1" s="6" t="s">
        <v>56</v>
      </c>
      <c r="J1" s="6" t="s">
        <v>57</v>
      </c>
      <c r="K1" s="6" t="s">
        <v>9</v>
      </c>
      <c r="L1" s="6" t="s">
        <v>2</v>
      </c>
      <c r="M1" s="6" t="s">
        <v>3</v>
      </c>
      <c r="N1" s="6" t="s">
        <v>5</v>
      </c>
    </row>
    <row r="2" spans="1:14" x14ac:dyDescent="0.25">
      <c r="A2" s="15">
        <v>1</v>
      </c>
      <c r="B2" s="2" t="s">
        <v>63</v>
      </c>
      <c r="C2" s="3">
        <v>46282</v>
      </c>
      <c r="D2" s="2" t="s">
        <v>66</v>
      </c>
      <c r="E2" s="3" t="s">
        <v>60</v>
      </c>
      <c r="F2" s="2">
        <v>39715</v>
      </c>
      <c r="G2" s="2">
        <v>33383</v>
      </c>
      <c r="H2" s="2">
        <v>73098</v>
      </c>
      <c r="I2" s="2">
        <v>1630</v>
      </c>
      <c r="J2" s="2">
        <v>74728</v>
      </c>
      <c r="K2" s="2" t="s">
        <v>67</v>
      </c>
      <c r="L2" s="2" t="s">
        <v>69</v>
      </c>
      <c r="M2" s="4" t="s">
        <v>27</v>
      </c>
      <c r="N2" s="2" t="s">
        <v>68</v>
      </c>
    </row>
    <row r="3" spans="1:14" x14ac:dyDescent="0.25">
      <c r="A3" s="2">
        <v>2</v>
      </c>
      <c r="B3" s="2" t="s">
        <v>64</v>
      </c>
      <c r="C3" s="3">
        <v>46282</v>
      </c>
      <c r="D3" s="2" t="s">
        <v>65</v>
      </c>
      <c r="E3" s="3" t="s">
        <v>60</v>
      </c>
      <c r="F3" s="2">
        <v>39715</v>
      </c>
      <c r="G3" s="2">
        <v>33383</v>
      </c>
      <c r="H3" s="2">
        <v>73098</v>
      </c>
      <c r="I3" s="2">
        <v>1630</v>
      </c>
      <c r="J3" s="2">
        <v>74728</v>
      </c>
      <c r="K3" s="2" t="s">
        <v>67</v>
      </c>
      <c r="L3" s="2" t="s">
        <v>70</v>
      </c>
      <c r="M3" s="4" t="s">
        <v>27</v>
      </c>
      <c r="N3" s="2" t="s">
        <v>68</v>
      </c>
    </row>
    <row r="4" spans="1:14" x14ac:dyDescent="0.25">
      <c r="G4" s="12"/>
      <c r="H4" s="12"/>
      <c r="I4" s="12"/>
      <c r="J4" s="12"/>
    </row>
    <row r="5" spans="1:14" x14ac:dyDescent="0.25">
      <c r="G5" s="12" t="s">
        <v>61</v>
      </c>
      <c r="H5" s="13">
        <f>SUM(H2:H4)</f>
        <v>146196</v>
      </c>
      <c r="I5" s="12"/>
      <c r="J5" s="13">
        <f>SUM(J2:J4)</f>
        <v>149456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EMRAN</vt:lpstr>
      <vt:lpstr>BATI</vt:lpstr>
      <vt:lpstr>HALIFA</vt:lpstr>
      <vt:lpstr>A REHMAN</vt:lpstr>
      <vt:lpstr>FEYSEL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AYATA</dc:creator>
  <cp:lastModifiedBy>AYATA</cp:lastModifiedBy>
  <dcterms:created xsi:type="dcterms:W3CDTF">2026-09-18T07:08:00Z</dcterms:created>
  <dcterms:modified xsi:type="dcterms:W3CDTF">2026-09-18T08:01:40Z</dcterms:modified>
</cp:coreProperties>
</file>